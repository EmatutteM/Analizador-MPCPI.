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tias.machuca\Desktop\precios de transferencia\"/>
    </mc:Choice>
  </mc:AlternateContent>
  <xr:revisionPtr revIDLastSave="0" documentId="13_ncr:1_{15136A5B-E877-4D0F-952F-9D11B20F674A}" xr6:coauthVersionLast="47" xr6:coauthVersionMax="47" xr10:uidLastSave="{00000000-0000-0000-0000-000000000000}"/>
  <bookViews>
    <workbookView xWindow="-108" yWindow="-108" windowWidth="23256" windowHeight="12576" xr2:uid="{67B18B62-E4FC-4F88-A9C5-9530BADE55BC}"/>
  </bookViews>
  <sheets>
    <sheet name="OPERACIONES" sheetId="1" r:id="rId1"/>
    <sheet name="Análisis" sheetId="8" r:id="rId2"/>
  </sheets>
  <definedNames>
    <definedName name="_xlnm._FilterDatabase" localSheetId="1" hidden="1">Análisis!$A$1:$I$4</definedName>
    <definedName name="_xlnm._FilterDatabase" localSheetId="0" hidden="1">OPERACIONES!$A$1:$K$34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4" i="1" l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  <c r="J3" i="1"/>
  <c r="K3" i="1" s="1"/>
  <c r="J2" i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K2" i="1" l="1"/>
  <c r="J18" i="1" l="1"/>
  <c r="K18" i="1" s="1"/>
  <c r="J17" i="1"/>
  <c r="K17" i="1" s="1"/>
  <c r="J16" i="1"/>
  <c r="K16" i="1" s="1"/>
  <c r="J15" i="1"/>
  <c r="K15" i="1" l="1"/>
  <c r="J36" i="1"/>
</calcChain>
</file>

<file path=xl/sharedStrings.xml><?xml version="1.0" encoding="utf-8"?>
<sst xmlns="http://schemas.openxmlformats.org/spreadsheetml/2006/main" count="184" uniqueCount="46">
  <si>
    <t>País</t>
  </si>
  <si>
    <t>Vinculación</t>
  </si>
  <si>
    <t>Cliente</t>
  </si>
  <si>
    <t>Fecha</t>
  </si>
  <si>
    <t>Cantidad</t>
  </si>
  <si>
    <t>Tercero Independiente</t>
  </si>
  <si>
    <t xml:space="preserve"> Relacionada</t>
  </si>
  <si>
    <t>BAHRAIN</t>
  </si>
  <si>
    <t>ANARTRITICO Chinfield Iny. x 100 ml</t>
  </si>
  <si>
    <t>REPUBLICA DOMINICANA</t>
  </si>
  <si>
    <t>URUGUAY</t>
  </si>
  <si>
    <t>ATP DINAMOGENO Chinfield Iny. x 50 ml</t>
  </si>
  <si>
    <t>BATACAS Iny. x 50 ml</t>
  </si>
  <si>
    <t>CAUSTICO ROJO Chinfield Pomada x 30 gr</t>
  </si>
  <si>
    <t>CH-77 Iny. x 10 ml</t>
  </si>
  <si>
    <t>CHINFOOD FUERTE Oral x 5 Litros</t>
  </si>
  <si>
    <t>CIPROHEPTADINA G Chinfield Jarabe x 1 Litro</t>
  </si>
  <si>
    <t>CLENPULMIN Iny. x 50 ml</t>
  </si>
  <si>
    <t>COAGULANTE Chinfield Iny. x 50 ml</t>
  </si>
  <si>
    <t>COMPLEJO B Chinfield Iny. 5 Fcos x 10 ml</t>
  </si>
  <si>
    <t>CORPOTEN INYECTABLE Iny. x 50 ml</t>
  </si>
  <si>
    <t>CORRECTONIC Iny. x 30 ml</t>
  </si>
  <si>
    <t>CORRETONIC Iny. x 30 ml</t>
  </si>
  <si>
    <t>DIURETIC Iny. x 50 ml</t>
  </si>
  <si>
    <t>FENILBUTAZONA AL 20% Iny. x 100 ml</t>
  </si>
  <si>
    <t>GASINT Iny. x 100 ml</t>
  </si>
  <si>
    <t>HEPATO FACTOR A Iny. x 100 ml</t>
  </si>
  <si>
    <t>HIALURONATO DE SODIO 5 Fcos x 2 ml</t>
  </si>
  <si>
    <t>TONICORRE Iny. x 50 ml</t>
  </si>
  <si>
    <t>TRIAMCINOLONA CHINFIELD x 30 ml</t>
  </si>
  <si>
    <t>YODACALCIO B12 x 500 ml</t>
  </si>
  <si>
    <t>Precio Comparable</t>
  </si>
  <si>
    <t>Nro. Factura</t>
  </si>
  <si>
    <t>Artículo</t>
  </si>
  <si>
    <t>Precio Unitario USD FOB</t>
  </si>
  <si>
    <t>U$S Totales FOB</t>
  </si>
  <si>
    <t>p*q</t>
  </si>
  <si>
    <t>control</t>
  </si>
  <si>
    <t>00004-00001344</t>
  </si>
  <si>
    <t>00004-00001347</t>
  </si>
  <si>
    <t>00004-00001349</t>
  </si>
  <si>
    <t>Descripcion de producto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</si>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</sst>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_-* #,##0\ _€_-;\-* #,##0\ _€_-;_-* &quot;-&quot;??\ _€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2"/>
    </font>
    <font>
      <b/>
      <sz val="10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165" fontId="4" fillId="2" borderId="1" xfId="3" applyNumberFormat="1" applyFont="1" applyFill="1" applyBorder="1" applyAlignment="1">
      <alignment horizontal="center" vertical="center" wrapText="1"/>
    </xf>
    <xf numFmtId="164" fontId="4" fillId="2" borderId="1" xfId="3" applyFont="1" applyFill="1" applyBorder="1" applyAlignment="1">
      <alignment horizontal="center" vertical="center" wrapText="1"/>
    </xf>
    <xf numFmtId="164" fontId="5" fillId="3" borderId="1" xfId="3" applyFont="1" applyFill="1" applyBorder="1" applyAlignment="1">
      <alignment horizontal="center" vertical="center" wrapText="1"/>
    </xf>
    <xf numFmtId="14" fontId="6" fillId="0" borderId="0" xfId="0" applyNumberFormat="1" applyFont="1"/>
    <xf numFmtId="0" fontId="6" fillId="0" borderId="0" xfId="0" applyFont="1"/>
    <xf numFmtId="0" fontId="7" fillId="0" borderId="2" xfId="0" applyFont="1" applyBorder="1" applyAlignment="1">
      <alignment vertical="center" wrapText="1"/>
    </xf>
    <xf numFmtId="0" fontId="7" fillId="0" borderId="0" xfId="0" applyFont="1"/>
    <xf numFmtId="43" fontId="7" fillId="0" borderId="2" xfId="4" applyFont="1" applyBorder="1" applyAlignment="1">
      <alignment vertical="center" wrapText="1"/>
    </xf>
    <xf numFmtId="43" fontId="7" fillId="0" borderId="0" xfId="4" applyFont="1"/>
    <xf numFmtId="0" fontId="8" fillId="4" borderId="3" xfId="0" applyFont="1" applyFill="1" applyBorder="1" applyAlignment="1">
      <alignment horizontal="center" vertical="center" wrapText="1"/>
    </xf>
    <xf numFmtId="14" fontId="8" fillId="4" borderId="3" xfId="0" applyNumberFormat="1" applyFont="1" applyFill="1" applyBorder="1" applyAlignment="1">
      <alignment horizontal="center" vertical="center" wrapText="1"/>
    </xf>
    <xf numFmtId="43" fontId="8" fillId="4" borderId="3" xfId="4" applyFont="1" applyFill="1" applyBorder="1" applyAlignment="1">
      <alignment horizontal="center" vertical="center" wrapText="1"/>
    </xf>
    <xf numFmtId="0" fontId="6" fillId="3" borderId="0" xfId="0" applyFont="1" applyFill="1"/>
    <xf numFmtId="0" fontId="9" fillId="0" borderId="0" xfId="0" applyFont="1"/>
    <xf numFmtId="0" fontId="9" fillId="5" borderId="5" xfId="0" applyFont="1" applyFill="1" applyBorder="1"/>
    <xf numFmtId="0" fontId="9" fillId="0" borderId="3" xfId="0" applyFont="1" applyBorder="1"/>
    <xf numFmtId="14" fontId="9" fillId="0" borderId="3" xfId="0" applyNumberFormat="1" applyFont="1" applyBorder="1"/>
    <xf numFmtId="0" fontId="9" fillId="5" borderId="4" xfId="0" applyFont="1" applyFill="1" applyBorder="1"/>
    <xf numFmtId="0" fontId="9" fillId="5" borderId="6" xfId="0" applyFont="1" applyFill="1" applyBorder="1"/>
    <xf numFmtId="43" fontId="9" fillId="0" borderId="0" xfId="4" applyFont="1"/>
    <xf numFmtId="0" fontId="10" fillId="0" borderId="0" xfId="0" applyFont="1"/>
    <xf numFmtId="43" fontId="9" fillId="0" borderId="3" xfId="4" applyFont="1" applyBorder="1"/>
    <xf numFmtId="43" fontId="9" fillId="0" borderId="3" xfId="0" applyNumberFormat="1" applyFont="1" applyBorder="1"/>
    <xf numFmtId="10" fontId="9" fillId="0" borderId="0" xfId="5" applyNumberFormat="1" applyFont="1"/>
    <xf numFmtId="0" fontId="8" fillId="4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8" fillId="4" borderId="3" xfId="0" applyFont="1" applyFill="1" applyBorder="1" applyAlignment="1">
      <alignment horizontal="center" vertical="center" wrapText="1"/>
    </xf>
  </cellXfs>
  <cellStyles count="6">
    <cellStyle name="Millares" xfId="4" builtinId="3"/>
    <cellStyle name="Millares 7" xfId="3" xr:uid="{12A65F32-3A37-469E-9A5C-FD5D542D0EE6}"/>
    <cellStyle name="Normal" xfId="0" builtinId="0"/>
    <cellStyle name="Normal 3" xfId="2" xr:uid="{88AB7EBE-B642-4C50-9145-B79955570390}"/>
    <cellStyle name="Normal 4" xfId="1" xr:uid="{59538D0D-0625-41B0-957C-E117D1B5F548}"/>
    <cellStyle name="Porcentaje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D3D7-593C-4A7E-81F3-95BB194CF832}">
  <dimension ref="A1:N65"/>
  <sheetViews>
    <sheetView tabSelected="1" topLeftCell="A8" workbookViewId="0">
      <selection activeCell="C21" sqref="C21"/>
    </sheetView>
  </sheetViews>
  <sheetFormatPr baseColWidth="10" defaultColWidth="11.44140625" defaultRowHeight="14.4" x14ac:dyDescent="0.3"/>
  <cols>
    <col min="1" max="1" width="11.33203125" bestFit="1" customWidth="1"/>
    <col min="2" max="2" width="17.33203125" bestFit="1" customWidth="1"/>
    <col min="3" max="3" width="39.5546875" bestFit="1" customWidth="1"/>
    <col min="4" max="4" width="26.44140625" bestFit="1" customWidth="1"/>
    <col min="5" max="5" width="19.33203125" bestFit="1" customWidth="1"/>
    <col min="6" max="6" width="12.6640625" bestFit="1" customWidth="1"/>
    <col min="7" max="7" width="44.88671875" bestFit="1" customWidth="1"/>
    <col min="8" max="8" width="13.33203125" bestFit="1" customWidth="1"/>
    <col min="9" max="9" width="11.109375" bestFit="1" customWidth="1"/>
    <col min="10" max="10" width="13.6640625" bestFit="1" customWidth="1"/>
    <col min="11" max="11" width="10.5546875" bestFit="1" customWidth="1"/>
    <col min="14" max="14" width="14" bestFit="1" customWidth="1"/>
  </cols>
  <sheetData>
    <row r="1" spans="1:14" ht="41.4" x14ac:dyDescent="0.3">
      <c r="A1" s="1" t="s">
        <v>3</v>
      </c>
      <c r="B1" s="2" t="s">
        <v>32</v>
      </c>
      <c r="C1" s="2" t="s">
        <v>2</v>
      </c>
      <c r="D1" s="2" t="s">
        <v>0</v>
      </c>
      <c r="E1" s="2" t="s">
        <v>1</v>
      </c>
      <c r="F1" s="3" t="s">
        <v>4</v>
      </c>
      <c r="G1" s="2" t="s">
        <v>33</v>
      </c>
      <c r="H1" s="4" t="s">
        <v>34</v>
      </c>
      <c r="I1" s="4" t="s">
        <v>35</v>
      </c>
      <c r="J1" s="5" t="s">
        <v>36</v>
      </c>
      <c r="K1" s="5" t="s">
        <v>37</v>
      </c>
    </row>
    <row r="2" spans="1:14" s="9" customFormat="1" ht="13.8" x14ac:dyDescent="0.25">
      <c r="A2" s="6">
        <v>45694</v>
      </c>
      <c r="B2" s="7" t="s">
        <v>38</v>
      </c>
      <c r="C2" s="7" t="s">
        <v>42</v>
      </c>
      <c r="D2" s="7" t="s">
        <v>7</v>
      </c>
      <c r="E2" s="7" t="s">
        <v>6</v>
      </c>
      <c r="F2" s="7">
        <v>20</v>
      </c>
      <c r="G2" s="7" t="s">
        <v>27</v>
      </c>
      <c r="H2" s="7">
        <v>100</v>
      </c>
      <c r="I2" s="7">
        <v>2000</v>
      </c>
      <c r="J2" s="8">
        <f t="shared" ref="J2:J14" si="0">H2*F2</f>
        <v>2000</v>
      </c>
      <c r="K2" s="9">
        <f t="shared" ref="K2:K14" si="1">J2-I2</f>
        <v>0</v>
      </c>
    </row>
    <row r="3" spans="1:14" s="9" customFormat="1" ht="13.8" x14ac:dyDescent="0.25">
      <c r="A3" s="6">
        <v>45694</v>
      </c>
      <c r="B3" s="7" t="s">
        <v>38</v>
      </c>
      <c r="C3" s="7" t="s">
        <v>42</v>
      </c>
      <c r="D3" s="7" t="s">
        <v>7</v>
      </c>
      <c r="E3" s="7" t="s">
        <v>6</v>
      </c>
      <c r="F3" s="7">
        <v>2496</v>
      </c>
      <c r="G3" s="7" t="s">
        <v>28</v>
      </c>
      <c r="H3" s="7">
        <v>8.32</v>
      </c>
      <c r="I3" s="7">
        <v>20766.72</v>
      </c>
      <c r="J3" s="8">
        <f t="shared" si="0"/>
        <v>20766.72</v>
      </c>
      <c r="K3" s="9">
        <f t="shared" si="1"/>
        <v>0</v>
      </c>
    </row>
    <row r="4" spans="1:14" s="9" customFormat="1" ht="13.8" x14ac:dyDescent="0.25">
      <c r="A4" s="6">
        <v>45694</v>
      </c>
      <c r="B4" s="7" t="s">
        <v>38</v>
      </c>
      <c r="C4" s="7" t="s">
        <v>42</v>
      </c>
      <c r="D4" s="7" t="s">
        <v>7</v>
      </c>
      <c r="E4" s="7" t="s">
        <v>6</v>
      </c>
      <c r="F4" s="7">
        <v>105</v>
      </c>
      <c r="G4" s="7" t="s">
        <v>8</v>
      </c>
      <c r="H4" s="7">
        <v>12.64</v>
      </c>
      <c r="I4" s="7">
        <v>1327.2</v>
      </c>
      <c r="J4" s="8">
        <f t="shared" si="0"/>
        <v>1327.2</v>
      </c>
      <c r="K4" s="9">
        <f t="shared" si="1"/>
        <v>0</v>
      </c>
    </row>
    <row r="5" spans="1:14" s="9" customFormat="1" ht="13.8" x14ac:dyDescent="0.25">
      <c r="A5" s="6">
        <v>45694</v>
      </c>
      <c r="B5" s="7" t="s">
        <v>38</v>
      </c>
      <c r="C5" s="7" t="s">
        <v>42</v>
      </c>
      <c r="D5" s="7" t="s">
        <v>7</v>
      </c>
      <c r="E5" s="7" t="s">
        <v>6</v>
      </c>
      <c r="F5" s="7">
        <v>192</v>
      </c>
      <c r="G5" s="7" t="s">
        <v>12</v>
      </c>
      <c r="H5" s="7">
        <v>7.09</v>
      </c>
      <c r="I5" s="7">
        <v>1361.28</v>
      </c>
      <c r="J5" s="8">
        <f t="shared" si="0"/>
        <v>1361.28</v>
      </c>
      <c r="K5" s="9">
        <f t="shared" si="1"/>
        <v>0</v>
      </c>
    </row>
    <row r="6" spans="1:14" s="9" customFormat="1" ht="13.8" x14ac:dyDescent="0.25">
      <c r="A6" s="6">
        <v>45694</v>
      </c>
      <c r="B6" s="7" t="s">
        <v>38</v>
      </c>
      <c r="C6" s="7" t="s">
        <v>42</v>
      </c>
      <c r="D6" s="7" t="s">
        <v>7</v>
      </c>
      <c r="E6" s="7" t="s">
        <v>6</v>
      </c>
      <c r="F6" s="7">
        <v>120</v>
      </c>
      <c r="G6" s="7" t="s">
        <v>13</v>
      </c>
      <c r="H6" s="7">
        <v>7.36</v>
      </c>
      <c r="I6" s="7">
        <v>883.2</v>
      </c>
      <c r="J6" s="8">
        <f t="shared" si="0"/>
        <v>883.2</v>
      </c>
      <c r="K6" s="9">
        <f t="shared" si="1"/>
        <v>0</v>
      </c>
    </row>
    <row r="7" spans="1:14" s="9" customFormat="1" ht="13.8" x14ac:dyDescent="0.25">
      <c r="A7" s="6">
        <v>45694</v>
      </c>
      <c r="B7" s="7" t="s">
        <v>38</v>
      </c>
      <c r="C7" s="7" t="s">
        <v>42</v>
      </c>
      <c r="D7" s="7" t="s">
        <v>7</v>
      </c>
      <c r="E7" s="7" t="s">
        <v>6</v>
      </c>
      <c r="F7" s="7">
        <v>50</v>
      </c>
      <c r="G7" s="7" t="s">
        <v>17</v>
      </c>
      <c r="H7" s="7">
        <v>9.15</v>
      </c>
      <c r="I7" s="7">
        <v>457.5</v>
      </c>
      <c r="J7" s="8">
        <f t="shared" si="0"/>
        <v>457.5</v>
      </c>
      <c r="K7" s="9">
        <f t="shared" si="1"/>
        <v>0</v>
      </c>
    </row>
    <row r="8" spans="1:14" s="9" customFormat="1" ht="13.8" x14ac:dyDescent="0.25">
      <c r="A8" s="6">
        <v>45694</v>
      </c>
      <c r="B8" s="7" t="s">
        <v>38</v>
      </c>
      <c r="C8" s="7" t="s">
        <v>42</v>
      </c>
      <c r="D8" s="7" t="s">
        <v>7</v>
      </c>
      <c r="E8" s="7" t="s">
        <v>6</v>
      </c>
      <c r="F8" s="7">
        <v>150</v>
      </c>
      <c r="G8" s="7" t="s">
        <v>21</v>
      </c>
      <c r="H8" s="7">
        <v>6</v>
      </c>
      <c r="I8" s="7">
        <v>900</v>
      </c>
      <c r="J8" s="8">
        <f t="shared" si="0"/>
        <v>900</v>
      </c>
      <c r="K8" s="9">
        <f t="shared" si="1"/>
        <v>0</v>
      </c>
    </row>
    <row r="9" spans="1:14" s="9" customFormat="1" ht="13.8" x14ac:dyDescent="0.25">
      <c r="A9" s="6">
        <v>45694</v>
      </c>
      <c r="B9" s="7" t="s">
        <v>38</v>
      </c>
      <c r="C9" s="7" t="s">
        <v>42</v>
      </c>
      <c r="D9" s="7" t="s">
        <v>7</v>
      </c>
      <c r="E9" s="7" t="s">
        <v>6</v>
      </c>
      <c r="F9" s="7">
        <v>30</v>
      </c>
      <c r="G9" s="7" t="s">
        <v>19</v>
      </c>
      <c r="H9" s="7">
        <v>15.9</v>
      </c>
      <c r="I9" s="7">
        <v>477</v>
      </c>
      <c r="J9" s="8">
        <f t="shared" si="0"/>
        <v>477</v>
      </c>
      <c r="K9" s="9">
        <f t="shared" si="1"/>
        <v>0</v>
      </c>
      <c r="N9" s="11">
        <v>1072866.74</v>
      </c>
    </row>
    <row r="10" spans="1:14" s="9" customFormat="1" ht="13.8" x14ac:dyDescent="0.25">
      <c r="A10" s="6">
        <v>45694</v>
      </c>
      <c r="B10" s="7" t="s">
        <v>38</v>
      </c>
      <c r="C10" s="7" t="s">
        <v>42</v>
      </c>
      <c r="D10" s="7" t="s">
        <v>7</v>
      </c>
      <c r="E10" s="7" t="s">
        <v>6</v>
      </c>
      <c r="F10" s="7">
        <v>384</v>
      </c>
      <c r="G10" s="7" t="s">
        <v>20</v>
      </c>
      <c r="H10" s="7">
        <v>5.77</v>
      </c>
      <c r="I10" s="7">
        <v>2215.6799999999998</v>
      </c>
      <c r="J10" s="8">
        <f t="shared" si="0"/>
        <v>2215.6799999999998</v>
      </c>
      <c r="K10" s="9">
        <f t="shared" si="1"/>
        <v>0</v>
      </c>
    </row>
    <row r="11" spans="1:14" s="9" customFormat="1" ht="13.8" x14ac:dyDescent="0.25">
      <c r="A11" s="6">
        <v>45694</v>
      </c>
      <c r="B11" s="7" t="s">
        <v>38</v>
      </c>
      <c r="C11" s="7" t="s">
        <v>42</v>
      </c>
      <c r="D11" s="7" t="s">
        <v>7</v>
      </c>
      <c r="E11" s="7" t="s">
        <v>6</v>
      </c>
      <c r="F11" s="7">
        <v>50</v>
      </c>
      <c r="G11" s="7" t="s">
        <v>23</v>
      </c>
      <c r="H11" s="7">
        <v>6.45</v>
      </c>
      <c r="I11" s="7">
        <v>322.5</v>
      </c>
      <c r="J11" s="8">
        <f t="shared" si="0"/>
        <v>322.5</v>
      </c>
      <c r="K11" s="9">
        <f t="shared" si="1"/>
        <v>0</v>
      </c>
    </row>
    <row r="12" spans="1:14" s="9" customFormat="1" ht="13.8" x14ac:dyDescent="0.25">
      <c r="A12" s="6">
        <v>45694</v>
      </c>
      <c r="B12" s="7" t="s">
        <v>38</v>
      </c>
      <c r="C12" s="7" t="s">
        <v>42</v>
      </c>
      <c r="D12" s="7" t="s">
        <v>7</v>
      </c>
      <c r="E12" s="7" t="s">
        <v>6</v>
      </c>
      <c r="F12" s="7">
        <v>105</v>
      </c>
      <c r="G12" s="7" t="s">
        <v>24</v>
      </c>
      <c r="H12" s="7">
        <v>5.95</v>
      </c>
      <c r="I12" s="7">
        <v>624.75</v>
      </c>
      <c r="J12" s="8">
        <f t="shared" si="0"/>
        <v>624.75</v>
      </c>
      <c r="K12" s="9">
        <f t="shared" si="1"/>
        <v>0</v>
      </c>
    </row>
    <row r="13" spans="1:14" s="9" customFormat="1" ht="13.8" x14ac:dyDescent="0.25">
      <c r="A13" s="6">
        <v>45694</v>
      </c>
      <c r="B13" s="7" t="s">
        <v>38</v>
      </c>
      <c r="C13" s="7" t="s">
        <v>42</v>
      </c>
      <c r="D13" s="7" t="s">
        <v>7</v>
      </c>
      <c r="E13" s="7" t="s">
        <v>6</v>
      </c>
      <c r="F13" s="7">
        <v>210</v>
      </c>
      <c r="G13" s="7" t="s">
        <v>25</v>
      </c>
      <c r="H13" s="7">
        <v>5.86</v>
      </c>
      <c r="I13" s="7">
        <v>1230.5999999999999</v>
      </c>
      <c r="J13" s="8">
        <f t="shared" si="0"/>
        <v>1230.6000000000001</v>
      </c>
      <c r="K13" s="9">
        <f t="shared" si="1"/>
        <v>0</v>
      </c>
    </row>
    <row r="14" spans="1:14" s="9" customFormat="1" ht="13.8" x14ac:dyDescent="0.25">
      <c r="A14" s="6">
        <v>45694</v>
      </c>
      <c r="B14" s="7" t="s">
        <v>38</v>
      </c>
      <c r="C14" s="7" t="s">
        <v>42</v>
      </c>
      <c r="D14" s="7" t="s">
        <v>7</v>
      </c>
      <c r="E14" s="7" t="s">
        <v>6</v>
      </c>
      <c r="F14" s="7">
        <v>1050</v>
      </c>
      <c r="G14" s="7" t="s">
        <v>26</v>
      </c>
      <c r="H14" s="7">
        <v>10.95</v>
      </c>
      <c r="I14" s="7">
        <v>11497.5</v>
      </c>
      <c r="J14" s="8">
        <f t="shared" si="0"/>
        <v>11497.5</v>
      </c>
      <c r="K14" s="9">
        <f t="shared" si="1"/>
        <v>0</v>
      </c>
    </row>
    <row r="15" spans="1:14" s="9" customFormat="1" ht="13.8" x14ac:dyDescent="0.25">
      <c r="A15" s="6">
        <v>45700</v>
      </c>
      <c r="B15" s="7" t="s">
        <v>39</v>
      </c>
      <c r="C15" s="7" t="s">
        <v>43</v>
      </c>
      <c r="D15" s="7" t="s">
        <v>10</v>
      </c>
      <c r="E15" s="7" t="s">
        <v>5</v>
      </c>
      <c r="F15" s="7">
        <v>100</v>
      </c>
      <c r="G15" s="7" t="s">
        <v>15</v>
      </c>
      <c r="H15" s="7">
        <v>29.5</v>
      </c>
      <c r="I15" s="7">
        <v>2950</v>
      </c>
      <c r="J15" s="8">
        <f t="shared" ref="J15:J34" si="2">H15*F15</f>
        <v>2950</v>
      </c>
      <c r="K15" s="9">
        <f t="shared" ref="K15:K34" si="3">J15-I15</f>
        <v>0</v>
      </c>
    </row>
    <row r="16" spans="1:14" s="9" customFormat="1" ht="13.8" x14ac:dyDescent="0.25">
      <c r="A16" s="6">
        <v>45700</v>
      </c>
      <c r="B16" s="7" t="s">
        <v>39</v>
      </c>
      <c r="C16" s="7" t="s">
        <v>43</v>
      </c>
      <c r="D16" s="7" t="s">
        <v>10</v>
      </c>
      <c r="E16" s="7" t="s">
        <v>5</v>
      </c>
      <c r="F16" s="7">
        <v>1000</v>
      </c>
      <c r="G16" s="7" t="s">
        <v>25</v>
      </c>
      <c r="H16" s="7">
        <v>6.1</v>
      </c>
      <c r="I16" s="7">
        <v>6100</v>
      </c>
      <c r="J16" s="8">
        <f t="shared" si="2"/>
        <v>6100</v>
      </c>
      <c r="K16" s="9">
        <f t="shared" si="3"/>
        <v>0</v>
      </c>
    </row>
    <row r="17" spans="1:11" s="9" customFormat="1" ht="13.8" x14ac:dyDescent="0.25">
      <c r="A17" s="6">
        <v>45700</v>
      </c>
      <c r="B17" s="7" t="s">
        <v>39</v>
      </c>
      <c r="C17" s="7" t="s">
        <v>43</v>
      </c>
      <c r="D17" s="7" t="s">
        <v>10</v>
      </c>
      <c r="E17" s="7" t="s">
        <v>5</v>
      </c>
      <c r="F17" s="7">
        <v>200</v>
      </c>
      <c r="G17" s="7" t="s">
        <v>28</v>
      </c>
      <c r="H17" s="7">
        <v>5</v>
      </c>
      <c r="I17" s="7">
        <v>1000</v>
      </c>
      <c r="J17" s="8">
        <f t="shared" si="2"/>
        <v>1000</v>
      </c>
      <c r="K17" s="9">
        <f t="shared" si="3"/>
        <v>0</v>
      </c>
    </row>
    <row r="18" spans="1:11" s="9" customFormat="1" ht="13.8" x14ac:dyDescent="0.25">
      <c r="A18" s="6">
        <v>45700</v>
      </c>
      <c r="B18" s="7" t="s">
        <v>39</v>
      </c>
      <c r="C18" s="7" t="s">
        <v>43</v>
      </c>
      <c r="D18" s="7" t="s">
        <v>10</v>
      </c>
      <c r="E18" s="7" t="s">
        <v>5</v>
      </c>
      <c r="F18" s="7">
        <v>1000</v>
      </c>
      <c r="G18" s="7" t="s">
        <v>30</v>
      </c>
      <c r="H18" s="7">
        <v>6.5</v>
      </c>
      <c r="I18" s="7">
        <v>6500</v>
      </c>
      <c r="J18" s="8">
        <f t="shared" si="2"/>
        <v>6500</v>
      </c>
      <c r="K18" s="9">
        <f t="shared" si="3"/>
        <v>0</v>
      </c>
    </row>
    <row r="19" spans="1:11" s="9" customFormat="1" ht="13.8" x14ac:dyDescent="0.25">
      <c r="A19" s="6">
        <v>45705</v>
      </c>
      <c r="B19" s="7" t="s">
        <v>40</v>
      </c>
      <c r="C19" s="7" t="s">
        <v>44</v>
      </c>
      <c r="D19" s="7" t="s">
        <v>9</v>
      </c>
      <c r="E19" s="15" t="s">
        <v>5</v>
      </c>
      <c r="F19" s="7">
        <v>200</v>
      </c>
      <c r="G19" s="7" t="s">
        <v>11</v>
      </c>
      <c r="H19" s="7">
        <v>8</v>
      </c>
      <c r="I19" s="7">
        <v>1600</v>
      </c>
      <c r="J19" s="8">
        <f t="shared" si="2"/>
        <v>1600</v>
      </c>
      <c r="K19" s="9">
        <f t="shared" si="3"/>
        <v>0</v>
      </c>
    </row>
    <row r="20" spans="1:11" s="9" customFormat="1" ht="13.8" x14ac:dyDescent="0.25">
      <c r="A20" s="6">
        <v>45705</v>
      </c>
      <c r="B20" s="7" t="s">
        <v>40</v>
      </c>
      <c r="C20" s="7" t="s">
        <v>44</v>
      </c>
      <c r="D20" s="7" t="s">
        <v>9</v>
      </c>
      <c r="E20" s="15" t="s">
        <v>5</v>
      </c>
      <c r="F20" s="7">
        <v>200</v>
      </c>
      <c r="G20" s="7" t="s">
        <v>25</v>
      </c>
      <c r="H20" s="7">
        <v>9.4</v>
      </c>
      <c r="I20" s="7">
        <v>1880</v>
      </c>
      <c r="J20" s="8">
        <f t="shared" si="2"/>
        <v>1880</v>
      </c>
      <c r="K20" s="9">
        <f t="shared" si="3"/>
        <v>0</v>
      </c>
    </row>
    <row r="21" spans="1:11" s="9" customFormat="1" ht="13.8" x14ac:dyDescent="0.25">
      <c r="A21" s="6">
        <v>45705</v>
      </c>
      <c r="B21" s="7" t="s">
        <v>40</v>
      </c>
      <c r="C21" s="7" t="s">
        <v>44</v>
      </c>
      <c r="D21" s="7" t="s">
        <v>9</v>
      </c>
      <c r="E21" s="15" t="s">
        <v>5</v>
      </c>
      <c r="F21" s="7">
        <v>192</v>
      </c>
      <c r="G21" s="7" t="s">
        <v>25</v>
      </c>
      <c r="H21" s="7">
        <v>6.35</v>
      </c>
      <c r="I21" s="7">
        <v>1219.2</v>
      </c>
      <c r="J21" s="8">
        <f t="shared" si="2"/>
        <v>1219.1999999999998</v>
      </c>
      <c r="K21" s="9">
        <f t="shared" si="3"/>
        <v>0</v>
      </c>
    </row>
    <row r="22" spans="1:11" s="9" customFormat="1" ht="13.8" x14ac:dyDescent="0.25">
      <c r="A22" s="6">
        <v>45705</v>
      </c>
      <c r="B22" s="7" t="s">
        <v>40</v>
      </c>
      <c r="C22" s="7" t="s">
        <v>44</v>
      </c>
      <c r="D22" s="7" t="s">
        <v>9</v>
      </c>
      <c r="E22" s="15" t="s">
        <v>5</v>
      </c>
      <c r="F22" s="7">
        <v>100</v>
      </c>
      <c r="G22" s="7" t="s">
        <v>14</v>
      </c>
      <c r="H22" s="7">
        <v>6.4</v>
      </c>
      <c r="I22" s="7">
        <v>640</v>
      </c>
      <c r="J22" s="8">
        <f t="shared" si="2"/>
        <v>640</v>
      </c>
      <c r="K22" s="9">
        <f t="shared" si="3"/>
        <v>0</v>
      </c>
    </row>
    <row r="23" spans="1:11" s="9" customFormat="1" ht="13.8" x14ac:dyDescent="0.25">
      <c r="A23" s="6">
        <v>45705</v>
      </c>
      <c r="B23" s="7" t="s">
        <v>40</v>
      </c>
      <c r="C23" s="7" t="s">
        <v>45</v>
      </c>
      <c r="D23" s="7" t="s">
        <v>9</v>
      </c>
      <c r="E23" s="15" t="s">
        <v>5</v>
      </c>
      <c r="F23" s="7">
        <v>80</v>
      </c>
      <c r="G23" s="7" t="s">
        <v>16</v>
      </c>
      <c r="H23" s="7">
        <v>12.4</v>
      </c>
      <c r="I23" s="7">
        <v>992</v>
      </c>
      <c r="J23" s="8">
        <f t="shared" si="2"/>
        <v>992</v>
      </c>
      <c r="K23" s="9">
        <f t="shared" si="3"/>
        <v>0</v>
      </c>
    </row>
    <row r="24" spans="1:11" s="9" customFormat="1" ht="13.8" x14ac:dyDescent="0.25">
      <c r="A24" s="6">
        <v>45705</v>
      </c>
      <c r="B24" s="7" t="s">
        <v>40</v>
      </c>
      <c r="C24" s="7" t="s">
        <v>45</v>
      </c>
      <c r="D24" s="7" t="s">
        <v>9</v>
      </c>
      <c r="E24" s="15" t="s">
        <v>5</v>
      </c>
      <c r="F24" s="7">
        <v>192</v>
      </c>
      <c r="G24" s="7" t="s">
        <v>17</v>
      </c>
      <c r="H24" s="7">
        <v>7.6</v>
      </c>
      <c r="I24" s="7">
        <v>1459.2</v>
      </c>
      <c r="J24" s="8">
        <f t="shared" si="2"/>
        <v>1459.1999999999998</v>
      </c>
      <c r="K24" s="9">
        <f t="shared" si="3"/>
        <v>0</v>
      </c>
    </row>
    <row r="25" spans="1:11" s="9" customFormat="1" ht="13.8" x14ac:dyDescent="0.25">
      <c r="A25" s="6">
        <v>45705</v>
      </c>
      <c r="B25" s="7" t="s">
        <v>40</v>
      </c>
      <c r="C25" s="7" t="s">
        <v>45</v>
      </c>
      <c r="D25" s="7" t="s">
        <v>9</v>
      </c>
      <c r="E25" s="15" t="s">
        <v>5</v>
      </c>
      <c r="F25" s="7">
        <v>192</v>
      </c>
      <c r="G25" s="7" t="s">
        <v>18</v>
      </c>
      <c r="H25" s="7">
        <v>10.35</v>
      </c>
      <c r="I25" s="7">
        <v>1987.2</v>
      </c>
      <c r="J25" s="8">
        <f t="shared" si="2"/>
        <v>1987.1999999999998</v>
      </c>
      <c r="K25" s="9">
        <f t="shared" si="3"/>
        <v>0</v>
      </c>
    </row>
    <row r="26" spans="1:11" s="9" customFormat="1" ht="13.8" x14ac:dyDescent="0.25">
      <c r="A26" s="6">
        <v>45705</v>
      </c>
      <c r="B26" s="7" t="s">
        <v>40</v>
      </c>
      <c r="C26" s="7" t="s">
        <v>45</v>
      </c>
      <c r="D26" s="7" t="s">
        <v>9</v>
      </c>
      <c r="E26" s="15" t="s">
        <v>5</v>
      </c>
      <c r="F26" s="7">
        <v>192</v>
      </c>
      <c r="G26" s="7" t="s">
        <v>22</v>
      </c>
      <c r="H26" s="7">
        <v>6.35</v>
      </c>
      <c r="I26" s="7">
        <v>1219.2</v>
      </c>
      <c r="J26" s="8">
        <f t="shared" si="2"/>
        <v>1219.1999999999998</v>
      </c>
      <c r="K26" s="9">
        <f t="shared" si="3"/>
        <v>0</v>
      </c>
    </row>
    <row r="27" spans="1:11" s="9" customFormat="1" ht="13.8" x14ac:dyDescent="0.25">
      <c r="A27" s="6">
        <v>45705</v>
      </c>
      <c r="B27" s="7" t="s">
        <v>40</v>
      </c>
      <c r="C27" s="7" t="s">
        <v>45</v>
      </c>
      <c r="D27" s="7" t="s">
        <v>9</v>
      </c>
      <c r="E27" s="15" t="s">
        <v>5</v>
      </c>
      <c r="F27" s="7">
        <v>200</v>
      </c>
      <c r="G27" s="7" t="s">
        <v>25</v>
      </c>
      <c r="H27" s="7">
        <v>6.7</v>
      </c>
      <c r="I27" s="7">
        <v>1340</v>
      </c>
      <c r="J27" s="8">
        <f t="shared" si="2"/>
        <v>1340</v>
      </c>
      <c r="K27" s="9">
        <f t="shared" si="3"/>
        <v>0</v>
      </c>
    </row>
    <row r="28" spans="1:11" s="9" customFormat="1" ht="13.8" x14ac:dyDescent="0.25">
      <c r="A28" s="6">
        <v>45705</v>
      </c>
      <c r="B28" s="7" t="s">
        <v>40</v>
      </c>
      <c r="C28" s="7" t="s">
        <v>45</v>
      </c>
      <c r="D28" s="7" t="s">
        <v>9</v>
      </c>
      <c r="E28" s="15" t="s">
        <v>5</v>
      </c>
      <c r="F28" s="7">
        <v>200</v>
      </c>
      <c r="G28" s="7" t="s">
        <v>26</v>
      </c>
      <c r="H28" s="7">
        <v>8.75</v>
      </c>
      <c r="I28" s="7">
        <v>1750</v>
      </c>
      <c r="J28" s="8">
        <f t="shared" si="2"/>
        <v>1750</v>
      </c>
      <c r="K28" s="9">
        <f t="shared" si="3"/>
        <v>0</v>
      </c>
    </row>
    <row r="29" spans="1:11" s="9" customFormat="1" ht="13.8" x14ac:dyDescent="0.25">
      <c r="A29" s="6">
        <v>45705</v>
      </c>
      <c r="B29" s="7" t="s">
        <v>40</v>
      </c>
      <c r="C29" s="7" t="s">
        <v>45</v>
      </c>
      <c r="D29" s="7" t="s">
        <v>9</v>
      </c>
      <c r="E29" s="15" t="s">
        <v>5</v>
      </c>
      <c r="F29" s="7">
        <v>192</v>
      </c>
      <c r="G29" s="7" t="s">
        <v>23</v>
      </c>
      <c r="H29" s="7">
        <v>8.4</v>
      </c>
      <c r="I29" s="7">
        <v>1612.8</v>
      </c>
      <c r="J29" s="8">
        <f t="shared" si="2"/>
        <v>1612.8000000000002</v>
      </c>
      <c r="K29" s="9">
        <f t="shared" si="3"/>
        <v>0</v>
      </c>
    </row>
    <row r="30" spans="1:11" s="9" customFormat="1" ht="13.8" x14ac:dyDescent="0.25">
      <c r="A30" s="6">
        <v>45705</v>
      </c>
      <c r="B30" s="7" t="s">
        <v>40</v>
      </c>
      <c r="C30" s="7" t="s">
        <v>45</v>
      </c>
      <c r="D30" s="7" t="s">
        <v>9</v>
      </c>
      <c r="E30" s="15" t="s">
        <v>5</v>
      </c>
      <c r="F30" s="7">
        <v>150</v>
      </c>
      <c r="G30" s="7" t="s">
        <v>23</v>
      </c>
      <c r="H30" s="7">
        <v>16.97</v>
      </c>
      <c r="I30" s="7">
        <v>2545.5</v>
      </c>
      <c r="J30" s="8">
        <f t="shared" si="2"/>
        <v>2545.5</v>
      </c>
      <c r="K30" s="9">
        <f t="shared" si="3"/>
        <v>0</v>
      </c>
    </row>
    <row r="31" spans="1:11" s="9" customFormat="1" ht="13.8" x14ac:dyDescent="0.25">
      <c r="A31" s="6">
        <v>45705</v>
      </c>
      <c r="B31" s="7" t="s">
        <v>40</v>
      </c>
      <c r="C31" s="7" t="s">
        <v>45</v>
      </c>
      <c r="D31" s="7" t="s">
        <v>9</v>
      </c>
      <c r="E31" s="15" t="s">
        <v>5</v>
      </c>
      <c r="F31" s="7">
        <v>192</v>
      </c>
      <c r="G31" s="7" t="s">
        <v>28</v>
      </c>
      <c r="H31" s="7">
        <v>7.65</v>
      </c>
      <c r="I31" s="7">
        <v>1468.8</v>
      </c>
      <c r="J31" s="8">
        <f t="shared" si="2"/>
        <v>1468.8000000000002</v>
      </c>
      <c r="K31" s="9">
        <f t="shared" si="3"/>
        <v>0</v>
      </c>
    </row>
    <row r="32" spans="1:11" s="9" customFormat="1" ht="13.8" x14ac:dyDescent="0.25">
      <c r="A32" s="6">
        <v>45705</v>
      </c>
      <c r="B32" s="7" t="s">
        <v>40</v>
      </c>
      <c r="C32" s="7" t="s">
        <v>45</v>
      </c>
      <c r="D32" s="7" t="s">
        <v>9</v>
      </c>
      <c r="E32" s="15" t="s">
        <v>5</v>
      </c>
      <c r="F32" s="7">
        <v>192</v>
      </c>
      <c r="G32" s="7" t="s">
        <v>29</v>
      </c>
      <c r="H32" s="7">
        <v>9.3000000000000007</v>
      </c>
      <c r="I32" s="7">
        <v>1785.6</v>
      </c>
      <c r="J32" s="8">
        <f t="shared" si="2"/>
        <v>1785.6000000000001</v>
      </c>
      <c r="K32" s="9">
        <f t="shared" si="3"/>
        <v>0</v>
      </c>
    </row>
    <row r="33" spans="1:11" s="9" customFormat="1" ht="13.8" x14ac:dyDescent="0.25">
      <c r="A33" s="6">
        <v>45705</v>
      </c>
      <c r="B33" s="7" t="s">
        <v>40</v>
      </c>
      <c r="C33" s="7" t="s">
        <v>45</v>
      </c>
      <c r="D33" s="7" t="s">
        <v>9</v>
      </c>
      <c r="E33" s="15" t="s">
        <v>5</v>
      </c>
      <c r="F33" s="7">
        <v>192</v>
      </c>
      <c r="G33" s="7" t="s">
        <v>19</v>
      </c>
      <c r="H33" s="7">
        <v>17</v>
      </c>
      <c r="I33" s="7">
        <v>3264</v>
      </c>
      <c r="J33" s="8">
        <f t="shared" si="2"/>
        <v>3264</v>
      </c>
      <c r="K33" s="9">
        <f t="shared" si="3"/>
        <v>0</v>
      </c>
    </row>
    <row r="34" spans="1:11" s="9" customFormat="1" ht="13.8" x14ac:dyDescent="0.25">
      <c r="A34" s="6">
        <v>45705</v>
      </c>
      <c r="B34" s="7" t="s">
        <v>40</v>
      </c>
      <c r="C34" s="7" t="s">
        <v>45</v>
      </c>
      <c r="D34" s="7" t="s">
        <v>9</v>
      </c>
      <c r="E34" s="15" t="s">
        <v>5</v>
      </c>
      <c r="F34" s="7">
        <v>200</v>
      </c>
      <c r="G34" s="7" t="s">
        <v>19</v>
      </c>
      <c r="H34" s="7">
        <v>10.15</v>
      </c>
      <c r="I34" s="7">
        <v>2030</v>
      </c>
      <c r="J34" s="8">
        <f t="shared" si="2"/>
        <v>2030</v>
      </c>
      <c r="K34" s="9">
        <f t="shared" si="3"/>
        <v>0</v>
      </c>
    </row>
    <row r="35" spans="1:11" x14ac:dyDescent="0.3">
      <c r="A35" s="6"/>
      <c r="B35" s="7"/>
      <c r="C35" s="7"/>
      <c r="D35" s="7"/>
      <c r="F35" s="7"/>
      <c r="G35" s="7"/>
      <c r="H35" s="7"/>
      <c r="I35" s="7"/>
      <c r="J35" s="8"/>
    </row>
    <row r="36" spans="1:11" x14ac:dyDescent="0.3">
      <c r="A36" s="6"/>
      <c r="B36" s="7"/>
      <c r="C36" s="7"/>
      <c r="D36" s="7"/>
      <c r="F36" s="7"/>
      <c r="G36" s="7"/>
      <c r="H36" s="7"/>
      <c r="I36" s="7"/>
      <c r="J36" s="10">
        <f>+SUM(J2:J34)</f>
        <v>87407.430000000008</v>
      </c>
    </row>
    <row r="37" spans="1:11" x14ac:dyDescent="0.3">
      <c r="A37" s="6"/>
      <c r="B37" s="7"/>
      <c r="C37" s="7"/>
      <c r="D37" s="7"/>
      <c r="F37" s="7"/>
      <c r="G37" s="7"/>
      <c r="H37" s="7"/>
      <c r="I37" s="7"/>
      <c r="J37" s="8"/>
    </row>
    <row r="38" spans="1:11" x14ac:dyDescent="0.3">
      <c r="A38" s="6"/>
      <c r="B38" s="7"/>
      <c r="C38" s="7"/>
      <c r="D38" s="7"/>
      <c r="F38" s="7"/>
      <c r="G38" s="7"/>
      <c r="H38" s="7"/>
      <c r="I38" s="7"/>
      <c r="J38" s="8"/>
    </row>
    <row r="39" spans="1:11" x14ac:dyDescent="0.3">
      <c r="A39" s="6"/>
      <c r="B39" s="7"/>
      <c r="C39" s="7"/>
      <c r="D39" s="7"/>
      <c r="F39" s="7"/>
      <c r="G39" s="7"/>
      <c r="H39" s="7"/>
      <c r="I39" s="7"/>
      <c r="J39" s="8"/>
    </row>
    <row r="40" spans="1:11" x14ac:dyDescent="0.3">
      <c r="A40" s="6"/>
      <c r="B40" s="7"/>
      <c r="C40" s="7"/>
      <c r="D40" s="7"/>
      <c r="F40" s="7"/>
      <c r="G40" s="7"/>
      <c r="H40" s="7"/>
      <c r="I40" s="7"/>
      <c r="J40" s="8"/>
    </row>
    <row r="41" spans="1:11" x14ac:dyDescent="0.3">
      <c r="A41" s="6"/>
      <c r="B41" s="7"/>
      <c r="C41" s="7"/>
      <c r="D41" s="7"/>
      <c r="F41" s="7"/>
      <c r="G41" s="7"/>
      <c r="H41" s="7"/>
      <c r="I41" s="7"/>
      <c r="J41" s="8"/>
    </row>
    <row r="42" spans="1:11" x14ac:dyDescent="0.3">
      <c r="A42" s="6"/>
      <c r="B42" s="7"/>
      <c r="C42" s="7"/>
      <c r="D42" s="7"/>
      <c r="F42" s="7"/>
      <c r="G42" s="7"/>
      <c r="H42" s="7"/>
      <c r="I42" s="7"/>
      <c r="J42" s="8"/>
    </row>
    <row r="43" spans="1:11" x14ac:dyDescent="0.3">
      <c r="A43" s="6"/>
      <c r="B43" s="7"/>
      <c r="C43" s="7"/>
      <c r="D43" s="7"/>
      <c r="F43" s="7"/>
      <c r="G43" s="7"/>
      <c r="H43" s="7"/>
      <c r="I43" s="7"/>
      <c r="J43" s="8"/>
    </row>
    <row r="44" spans="1:11" x14ac:dyDescent="0.3">
      <c r="A44" s="6"/>
      <c r="B44" s="7"/>
      <c r="C44" s="7"/>
      <c r="D44" s="7"/>
      <c r="F44" s="7"/>
      <c r="G44" s="7"/>
      <c r="H44" s="7"/>
      <c r="I44" s="7"/>
      <c r="J44" s="8"/>
    </row>
    <row r="45" spans="1:11" x14ac:dyDescent="0.3">
      <c r="A45" s="6"/>
      <c r="B45" s="7"/>
      <c r="C45" s="7"/>
      <c r="D45" s="7"/>
      <c r="F45" s="7"/>
      <c r="G45" s="7"/>
      <c r="H45" s="7"/>
      <c r="I45" s="7"/>
      <c r="J45" s="8"/>
    </row>
    <row r="46" spans="1:11" x14ac:dyDescent="0.3">
      <c r="A46" s="6"/>
      <c r="B46" s="7"/>
      <c r="C46" s="7"/>
      <c r="D46" s="7"/>
      <c r="F46" s="7"/>
      <c r="G46" s="7"/>
      <c r="H46" s="7"/>
      <c r="I46" s="7"/>
      <c r="J46" s="8"/>
    </row>
    <row r="47" spans="1:11" x14ac:dyDescent="0.3">
      <c r="A47" s="6"/>
      <c r="B47" s="7"/>
      <c r="C47" s="7"/>
      <c r="D47" s="7"/>
      <c r="F47" s="7"/>
      <c r="G47" s="7"/>
      <c r="H47" s="7"/>
      <c r="I47" s="7"/>
      <c r="J47" s="8"/>
    </row>
    <row r="48" spans="1:11" x14ac:dyDescent="0.3">
      <c r="A48" s="6"/>
      <c r="B48" s="7"/>
      <c r="C48" s="7"/>
      <c r="D48" s="7"/>
      <c r="F48" s="7"/>
      <c r="G48" s="7"/>
      <c r="H48" s="7"/>
      <c r="I48" s="7"/>
      <c r="J48" s="8"/>
    </row>
    <row r="49" spans="1:10" x14ac:dyDescent="0.3">
      <c r="A49" s="6"/>
      <c r="B49" s="7"/>
      <c r="C49" s="7"/>
      <c r="D49" s="7"/>
      <c r="F49" s="7"/>
      <c r="G49" s="7"/>
      <c r="H49" s="7"/>
      <c r="I49" s="7"/>
      <c r="J49" s="8"/>
    </row>
    <row r="50" spans="1:10" x14ac:dyDescent="0.3">
      <c r="A50" s="6"/>
      <c r="B50" s="7"/>
      <c r="C50" s="7"/>
      <c r="D50" s="7"/>
      <c r="F50" s="7"/>
      <c r="G50" s="7"/>
      <c r="H50" s="7"/>
      <c r="I50" s="7"/>
      <c r="J50" s="8"/>
    </row>
    <row r="51" spans="1:10" x14ac:dyDescent="0.3">
      <c r="A51" s="6"/>
      <c r="B51" s="7"/>
      <c r="C51" s="7"/>
      <c r="D51" s="7"/>
      <c r="F51" s="7"/>
      <c r="G51" s="7"/>
      <c r="H51" s="7"/>
      <c r="I51" s="7"/>
      <c r="J51" s="8"/>
    </row>
    <row r="52" spans="1:10" x14ac:dyDescent="0.3">
      <c r="A52" s="6"/>
      <c r="B52" s="7"/>
      <c r="C52" s="7"/>
      <c r="D52" s="7"/>
      <c r="F52" s="7"/>
      <c r="G52" s="7"/>
      <c r="H52" s="7"/>
      <c r="I52" s="7"/>
      <c r="J52" s="8"/>
    </row>
    <row r="53" spans="1:10" x14ac:dyDescent="0.3">
      <c r="A53" s="6"/>
      <c r="B53" s="7"/>
      <c r="C53" s="7"/>
      <c r="D53" s="7"/>
      <c r="F53" s="7"/>
      <c r="G53" s="7"/>
      <c r="H53" s="7"/>
      <c r="I53" s="7"/>
      <c r="J53" s="8"/>
    </row>
    <row r="54" spans="1:10" x14ac:dyDescent="0.3">
      <c r="A54" s="6"/>
      <c r="B54" s="7"/>
      <c r="C54" s="7"/>
      <c r="D54" s="7"/>
      <c r="F54" s="7"/>
      <c r="G54" s="7"/>
      <c r="H54" s="7"/>
      <c r="I54" s="7"/>
      <c r="J54" s="8"/>
    </row>
    <row r="55" spans="1:10" x14ac:dyDescent="0.3">
      <c r="A55" s="6"/>
      <c r="B55" s="7"/>
      <c r="C55" s="7"/>
      <c r="D55" s="7"/>
      <c r="F55" s="7"/>
      <c r="G55" s="7"/>
      <c r="H55" s="7"/>
      <c r="I55" s="7"/>
      <c r="J55" s="8"/>
    </row>
    <row r="56" spans="1:10" x14ac:dyDescent="0.3">
      <c r="A56" s="6"/>
      <c r="B56" s="7"/>
      <c r="C56" s="7"/>
      <c r="D56" s="7"/>
      <c r="F56" s="7"/>
      <c r="G56" s="7"/>
      <c r="H56" s="7"/>
      <c r="I56" s="7"/>
      <c r="J56" s="8"/>
    </row>
    <row r="57" spans="1:10" x14ac:dyDescent="0.3">
      <c r="A57" s="6"/>
      <c r="B57" s="7"/>
      <c r="C57" s="7"/>
      <c r="D57" s="7"/>
      <c r="F57" s="7"/>
      <c r="G57" s="7"/>
      <c r="H57" s="7"/>
      <c r="I57" s="7"/>
      <c r="J57" s="8"/>
    </row>
    <row r="58" spans="1:10" x14ac:dyDescent="0.3">
      <c r="A58" s="6"/>
      <c r="B58" s="7"/>
      <c r="C58" s="7"/>
      <c r="D58" s="7"/>
      <c r="F58" s="7"/>
      <c r="G58" s="7"/>
      <c r="H58" s="7"/>
      <c r="I58" s="7"/>
      <c r="J58" s="8"/>
    </row>
    <row r="59" spans="1:10" x14ac:dyDescent="0.3">
      <c r="A59" s="6"/>
      <c r="B59" s="7"/>
      <c r="C59" s="7"/>
      <c r="D59" s="7"/>
      <c r="F59" s="7"/>
      <c r="G59" s="7"/>
      <c r="H59" s="7"/>
      <c r="I59" s="7"/>
      <c r="J59" s="8"/>
    </row>
    <row r="60" spans="1:10" x14ac:dyDescent="0.3">
      <c r="A60" s="6"/>
      <c r="B60" s="7"/>
      <c r="C60" s="7"/>
      <c r="D60" s="7"/>
      <c r="F60" s="7"/>
      <c r="G60" s="7"/>
      <c r="H60" s="7"/>
      <c r="I60" s="7"/>
      <c r="J60" s="8"/>
    </row>
    <row r="61" spans="1:10" x14ac:dyDescent="0.3">
      <c r="A61" s="6"/>
      <c r="B61" s="7"/>
      <c r="C61" s="7"/>
      <c r="D61" s="7"/>
      <c r="F61" s="7"/>
      <c r="G61" s="7"/>
      <c r="H61" s="7"/>
      <c r="I61" s="7"/>
      <c r="J61" s="8"/>
    </row>
    <row r="62" spans="1:10" x14ac:dyDescent="0.3">
      <c r="A62" s="6"/>
      <c r="B62" s="7"/>
      <c r="C62" s="7"/>
      <c r="D62" s="7"/>
      <c r="F62" s="7"/>
      <c r="G62" s="7"/>
      <c r="H62" s="7"/>
      <c r="I62" s="7"/>
      <c r="J62" s="8"/>
    </row>
    <row r="63" spans="1:10" x14ac:dyDescent="0.3">
      <c r="A63" s="6"/>
      <c r="B63" s="7"/>
      <c r="C63" s="7"/>
      <c r="D63" s="7"/>
      <c r="F63" s="7"/>
      <c r="G63" s="7"/>
      <c r="H63" s="7"/>
      <c r="I63" s="7"/>
      <c r="J63" s="8"/>
    </row>
    <row r="64" spans="1:10" x14ac:dyDescent="0.3">
      <c r="A64" s="6"/>
      <c r="B64" s="7"/>
      <c r="C64" s="7"/>
      <c r="D64" s="7"/>
      <c r="F64" s="7"/>
      <c r="G64" s="7"/>
      <c r="H64" s="7"/>
      <c r="I64" s="7"/>
      <c r="J64" s="8"/>
    </row>
    <row r="65" spans="1:10" x14ac:dyDescent="0.3">
      <c r="A65" s="6"/>
      <c r="B65" s="7"/>
      <c r="C65" s="7"/>
      <c r="D65" s="7"/>
      <c r="F65" s="7"/>
      <c r="G65" s="7"/>
      <c r="H65" s="7"/>
      <c r="I65" s="7"/>
      <c r="J65" s="8"/>
    </row>
  </sheetData>
  <autoFilter ref="A1:K34" xr:uid="{AAE7D3D7-593C-4A7E-81F3-95BB194CF832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7B0F-617C-4398-ABD2-100FB26E9DAA}">
  <dimension ref="A1:K10"/>
  <sheetViews>
    <sheetView workbookViewId="0">
      <selection activeCell="C14" sqref="C14"/>
    </sheetView>
  </sheetViews>
  <sheetFormatPr baseColWidth="10" defaultColWidth="11.44140625" defaultRowHeight="13.2" x14ac:dyDescent="0.25"/>
  <cols>
    <col min="1" max="1" width="40.21875" style="16" bestFit="1" customWidth="1"/>
    <col min="2" max="2" width="19.44140625" style="16" bestFit="1" customWidth="1"/>
    <col min="3" max="3" width="34.6640625" style="16" bestFit="1" customWidth="1"/>
    <col min="4" max="4" width="16.77734375" style="16" bestFit="1" customWidth="1"/>
    <col min="5" max="5" width="10.6640625" style="16" bestFit="1" customWidth="1"/>
    <col min="6" max="6" width="9.21875" style="16" customWidth="1"/>
    <col min="7" max="7" width="15.6640625" style="22" customWidth="1"/>
    <col min="8" max="8" width="16.77734375" style="22" bestFit="1" customWidth="1"/>
    <col min="9" max="9" width="8.33203125" style="22" customWidth="1"/>
    <col min="10" max="16384" width="11.44140625" style="16"/>
  </cols>
  <sheetData>
    <row r="1" spans="1:11" ht="26.4" x14ac:dyDescent="0.25">
      <c r="A1" s="12" t="s">
        <v>41</v>
      </c>
      <c r="B1" s="12" t="s">
        <v>1</v>
      </c>
      <c r="C1" s="12" t="s">
        <v>2</v>
      </c>
      <c r="D1" s="12" t="s">
        <v>0</v>
      </c>
      <c r="E1" s="13" t="s">
        <v>3</v>
      </c>
      <c r="F1" s="12" t="s">
        <v>4</v>
      </c>
      <c r="G1" s="14" t="s">
        <v>34</v>
      </c>
      <c r="H1" s="29" t="s">
        <v>31</v>
      </c>
      <c r="I1" s="29"/>
    </row>
    <row r="2" spans="1:11" x14ac:dyDescent="0.25">
      <c r="A2" s="17"/>
      <c r="B2" s="18"/>
      <c r="C2" s="18"/>
      <c r="D2" s="18"/>
      <c r="E2" s="19"/>
      <c r="F2" s="18"/>
      <c r="G2" s="24"/>
      <c r="H2" s="18"/>
      <c r="I2" s="25"/>
    </row>
    <row r="3" spans="1:11" x14ac:dyDescent="0.25">
      <c r="A3" s="20"/>
      <c r="B3" s="18"/>
      <c r="C3" s="18"/>
      <c r="D3" s="18"/>
      <c r="E3" s="19"/>
      <c r="F3" s="18"/>
      <c r="G3" s="24"/>
      <c r="H3" s="27"/>
      <c r="I3" s="27"/>
    </row>
    <row r="4" spans="1:11" x14ac:dyDescent="0.25">
      <c r="A4" s="21"/>
      <c r="B4" s="18"/>
      <c r="C4" s="18"/>
      <c r="D4" s="18"/>
      <c r="E4" s="19"/>
      <c r="F4" s="18"/>
      <c r="G4" s="24"/>
      <c r="H4" s="28"/>
      <c r="I4" s="28"/>
    </row>
    <row r="6" spans="1:11" x14ac:dyDescent="0.25">
      <c r="K6" s="26"/>
    </row>
    <row r="7" spans="1:11" x14ac:dyDescent="0.25">
      <c r="K7" s="26"/>
    </row>
    <row r="8" spans="1:11" x14ac:dyDescent="0.25">
      <c r="A8" s="23"/>
      <c r="K8" s="26"/>
    </row>
    <row r="9" spans="1:11" x14ac:dyDescent="0.25">
      <c r="K9" s="26"/>
    </row>
    <row r="10" spans="1:11" x14ac:dyDescent="0.25">
      <c r="K10" s="26"/>
    </row>
  </sheetData>
  <autoFilter ref="A1:I4" xr:uid="{CED27B0F-617C-4398-ABD2-100FB26E9DAA}">
    <filterColumn colId="7" showButton="0"/>
  </autoFilter>
  <mergeCells count="3">
    <mergeCell ref="H3:I3"/>
    <mergeCell ref="H4:I4"/>
    <mergeCell ref="H1:I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36BCE78EEF1040A825B9F6691DF7F8" ma:contentTypeVersion="16" ma:contentTypeDescription="Crear nuevo documento." ma:contentTypeScope="" ma:versionID="f30bfefabdd940877b85d50569bb6134">
  <xsd:schema xmlns:xsd="http://www.w3.org/2001/XMLSchema" xmlns:xs="http://www.w3.org/2001/XMLSchema" xmlns:p="http://schemas.microsoft.com/office/2006/metadata/properties" xmlns:ns2="987829b1-a633-4f58-9647-c44b5f629be3" xmlns:ns3="b18fc160-02cc-43a3-a894-47efdbfbf139" targetNamespace="http://schemas.microsoft.com/office/2006/metadata/properties" ma:root="true" ma:fieldsID="3e75620d7974e78e51fac4591df8f48a" ns2:_="" ns3:_="">
    <xsd:import namespace="987829b1-a633-4f58-9647-c44b5f629be3"/>
    <xsd:import namespace="b18fc160-02cc-43a3-a894-47efdbfbf13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7829b1-a633-4f58-9647-c44b5f629b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ee94173-cfd0-4d79-bd14-319c6be384c0}" ma:internalName="TaxCatchAll" ma:showField="CatchAllData" ma:web="987829b1-a633-4f58-9647-c44b5f629b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c160-02cc-43a3-a894-47efdbfbf1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f9c04131-a3dd-48b1-9899-21c6397bba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Tipo de contenido"/>
        <xsd:element ref="dc:title" minOccurs="0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c160-02cc-43a3-a894-47efdbfbf139">
      <Terms xmlns="http://schemas.microsoft.com/office/infopath/2007/PartnerControls"/>
    </lcf76f155ced4ddcb4097134ff3c332f>
    <TaxCatchAll xmlns="987829b1-a633-4f58-9647-c44b5f629be3" xsi:nil="true"/>
  </documentManagement>
</p:properties>
</file>

<file path=customXml/itemProps1.xml><?xml version="1.0" encoding="utf-8"?>
<ds:datastoreItem xmlns:ds="http://schemas.openxmlformats.org/officeDocument/2006/customXml" ds:itemID="{AA054B4B-3942-40D1-8829-B4C7B6E4B4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00C054-F1D8-4B7D-B7D5-102DB5BE19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7829b1-a633-4f58-9647-c44b5f629be3"/>
    <ds:schemaRef ds:uri="b18fc160-02cc-43a3-a894-47efdbfbf1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419942-A7CD-47F4-8A32-81D914539569}">
  <ds:schemaRefs>
    <ds:schemaRef ds:uri="http://schemas.microsoft.com/office/2006/metadata/properties"/>
    <ds:schemaRef ds:uri="http://schemas.microsoft.com/office/infopath/2007/PartnerControls"/>
    <ds:schemaRef ds:uri="b18fc160-02cc-43a3-a894-47efdbfbf139"/>
    <ds:schemaRef ds:uri="987829b1-a633-4f58-9647-c44b5f629b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OPERACIONES</vt:lpstr>
      <vt:lpstr>Análisis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Karina Ortigoza</dc:creator>
  <cp:keywords/>
  <dc:description/>
  <cp:lastModifiedBy>Comercial 1</cp:lastModifiedBy>
  <cp:revision/>
  <dcterms:created xsi:type="dcterms:W3CDTF">2026-04-24T17:19:46Z</dcterms:created>
  <dcterms:modified xsi:type="dcterms:W3CDTF">2026-10-23T00:48:31Z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0x0101009A36BCE78EEF1040A825B9F6691DF7F8</vt:lpwstr>
  </property>
  <property fmtid="{D5CDD505-2E9C-101B-9397-08002B2CF9AE}" pid="3" name="MediaServiceImageTags">
    <vt:lpwstr/>
  </property>
</Properties>
</file>